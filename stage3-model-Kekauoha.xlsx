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trustank/Downloads/"/>
    </mc:Choice>
  </mc:AlternateContent>
  <xr:revisionPtr revIDLastSave="0" documentId="8_{5E6D538B-4944-6A45-A831-7CCD1E798690}" xr6:coauthVersionLast="47" xr6:coauthVersionMax="47" xr10:uidLastSave="{00000000-0000-0000-0000-000000000000}"/>
  <bookViews>
    <workbookView xWindow="11860" yWindow="500" windowWidth="16940" windowHeight="16400" xr2:uid="{00000000-000D-0000-FFFF-FFFF00000000}"/>
  </bookViews>
  <sheets>
    <sheet name="Stage3_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A29" i="1"/>
  <c r="A30" i="1" s="1"/>
  <c r="B24" i="1"/>
  <c r="B23" i="1"/>
  <c r="B17" i="1"/>
  <c r="B18" i="1" s="1"/>
  <c r="B19" i="1" s="1"/>
  <c r="B44" i="1" s="1"/>
  <c r="B13" i="1"/>
  <c r="B43" i="1" s="1"/>
  <c r="A31" i="1" l="1"/>
  <c r="D30" i="1"/>
  <c r="E30" i="1"/>
  <c r="D29" i="1"/>
  <c r="E29" i="1"/>
  <c r="A32" i="1" l="1"/>
  <c r="E31" i="1"/>
  <c r="D31" i="1"/>
  <c r="D32" i="1" l="1"/>
  <c r="A33" i="1"/>
  <c r="E32" i="1"/>
  <c r="A34" i="1" l="1"/>
  <c r="E33" i="1"/>
  <c r="D33" i="1"/>
  <c r="A35" i="1" l="1"/>
  <c r="E34" i="1"/>
  <c r="D34" i="1"/>
  <c r="D35" i="1" l="1"/>
  <c r="A36" i="1"/>
  <c r="E35" i="1"/>
  <c r="A37" i="1" l="1"/>
  <c r="E36" i="1"/>
  <c r="D36" i="1"/>
  <c r="A38" i="1" l="1"/>
  <c r="E37" i="1"/>
  <c r="D37" i="1"/>
  <c r="A39" i="1" l="1"/>
  <c r="E38" i="1"/>
  <c r="D38" i="1"/>
  <c r="E39" i="1" l="1"/>
  <c r="D39" i="1"/>
  <c r="B45" i="1" l="1"/>
  <c r="B46" i="1"/>
  <c r="B48" i="1"/>
  <c r="B47" i="1"/>
</calcChain>
</file>

<file path=xl/sharedStrings.xml><?xml version="1.0" encoding="utf-8"?>
<sst xmlns="http://schemas.openxmlformats.org/spreadsheetml/2006/main" count="48" uniqueCount="41">
  <si>
    <t>Inputs (Editable)</t>
  </si>
  <si>
    <t>Foreign Currency Amount (EUR)</t>
  </si>
  <si>
    <t>Name</t>
  </si>
  <si>
    <t>FC_AMT</t>
  </si>
  <si>
    <t>Spot EUR/USD (SpotRate)</t>
  </si>
  <si>
    <t>SpotRate</t>
  </si>
  <si>
    <t>Forward EUR/USD (ForwardRate)</t>
  </si>
  <si>
    <t>ForwardRate</t>
  </si>
  <si>
    <t>USD 1-year interest rate (USD_Rate)</t>
  </si>
  <si>
    <t>USD_Rate</t>
  </si>
  <si>
    <t>EUR 1-year interest rate (EUR_Rate)</t>
  </si>
  <si>
    <t>EUR_Rate</t>
  </si>
  <si>
    <t>Option strike (Strike)</t>
  </si>
  <si>
    <t>Strike</t>
  </si>
  <si>
    <t>Option premium (Premium)</t>
  </si>
  <si>
    <t>Premium</t>
  </si>
  <si>
    <t>Time to maturity (years)</t>
  </si>
  <si>
    <t>T_Years</t>
  </si>
  <si>
    <t>Forward Hedge</t>
  </si>
  <si>
    <t>USD Proceeds (Forward)</t>
  </si>
  <si>
    <t>Money Market Hedge</t>
  </si>
  <si>
    <t>EUR Borrowed Today</t>
  </si>
  <si>
    <t>USD From Converting Today</t>
  </si>
  <si>
    <t>USD at Maturity (MM)</t>
  </si>
  <si>
    <t>Option Hedges</t>
  </si>
  <si>
    <t>Total Put Premium (USD)</t>
  </si>
  <si>
    <t>Total Call Premium (USD)</t>
  </si>
  <si>
    <t>FutureSpot (S_T)</t>
  </si>
  <si>
    <t>Forward Proceeds</t>
  </si>
  <si>
    <t>MM Proceeds</t>
  </si>
  <si>
    <t>Put Outcome (net)</t>
  </si>
  <si>
    <t>Call Outcome (net)</t>
  </si>
  <si>
    <t>Summary of Hedge Outcomes</t>
  </si>
  <si>
    <t>Forward Result (USD)</t>
  </si>
  <si>
    <t>Money Market Result (USD)</t>
  </si>
  <si>
    <t>Min Put Outcome</t>
  </si>
  <si>
    <t>Max Put Outcome</t>
  </si>
  <si>
    <t>Min Call Outcome</t>
  </si>
  <si>
    <t>Max Call Outcome</t>
  </si>
  <si>
    <t>Notes / Assumptions</t>
  </si>
  <si>
    <t>Interest rates are annualized simple rates; no transaction costs; premiums paid upfront; option assumed European; sensitivity uses hypothetical FutureSpot values from 0.95*S to 1.05*S.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</si>
</sst>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DE2"/>
        <bgColor rgb="FFFFFDE2"/>
      </patternFill>
    </fill>
    <fill>
      <patternFill patternType="solid">
        <fgColor rgb="FFE1F0FF"/>
        <bgColor rgb="FFE1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pane ySplit="13" topLeftCell="A14" activePane="bottomLeft" state="frozen"/>
      <selection pane="bottomLeft" activeCell="A56" sqref="A56"/>
    </sheetView>
  </sheetViews>
  <sheetFormatPr baseColWidth="10" defaultColWidth="8.83203125" defaultRowHeight="15" x14ac:dyDescent="0.2"/>
  <cols>
    <col min="1" max="7" width="22" customWidth="1"/>
  </cols>
  <sheetData>
    <row r="1" spans="1:4" x14ac:dyDescent="0.2">
      <c r="A1" s="1" t="s">
        <v>0</v>
      </c>
    </row>
    <row r="2" spans="1:4" x14ac:dyDescent="0.2">
      <c r="A2" t="s">
        <v>1</v>
      </c>
      <c r="B2" s="2">
        <v>8000000</v>
      </c>
      <c r="C2" t="s">
        <v>2</v>
      </c>
      <c r="D2" t="s">
        <v>3</v>
      </c>
    </row>
    <row r="3" spans="1:4" x14ac:dyDescent="0.2">
      <c r="A3" t="s">
        <v>4</v>
      </c>
      <c r="B3" s="2">
        <v>1.17</v>
      </c>
      <c r="C3" t="s">
        <v>2</v>
      </c>
      <c r="D3" t="s">
        <v>5</v>
      </c>
    </row>
    <row r="4" spans="1:4" x14ac:dyDescent="0.2">
      <c r="A4" t="s">
        <v>6</v>
      </c>
      <c r="B4" s="2">
        <v>1.089</v>
      </c>
      <c r="C4" t="s">
        <v>2</v>
      </c>
      <c r="D4" t="s">
        <v>7</v>
      </c>
    </row>
    <row r="5" spans="1:4" x14ac:dyDescent="0.2">
      <c r="A5" t="s">
        <v>8</v>
      </c>
      <c r="B5" s="2">
        <v>4.2500000000000003E-2</v>
      </c>
      <c r="C5" t="s">
        <v>2</v>
      </c>
      <c r="D5" t="s">
        <v>9</v>
      </c>
    </row>
    <row r="6" spans="1:4" x14ac:dyDescent="0.2">
      <c r="A6" t="s">
        <v>10</v>
      </c>
      <c r="B6" s="2">
        <v>2.1499999999999998E-2</v>
      </c>
      <c r="C6" t="s">
        <v>2</v>
      </c>
      <c r="D6" t="s">
        <v>11</v>
      </c>
    </row>
    <row r="7" spans="1:4" x14ac:dyDescent="0.2">
      <c r="A7" t="s">
        <v>12</v>
      </c>
      <c r="B7" s="2">
        <v>1.17</v>
      </c>
      <c r="C7" t="s">
        <v>2</v>
      </c>
      <c r="D7" t="s">
        <v>13</v>
      </c>
    </row>
    <row r="8" spans="1:4" x14ac:dyDescent="0.2">
      <c r="A8" t="s">
        <v>14</v>
      </c>
      <c r="B8" s="2">
        <v>2.1000000000000001E-2</v>
      </c>
      <c r="C8" t="s">
        <v>2</v>
      </c>
      <c r="D8" t="s">
        <v>15</v>
      </c>
    </row>
    <row r="9" spans="1:4" x14ac:dyDescent="0.2">
      <c r="A9" t="s">
        <v>16</v>
      </c>
      <c r="B9" s="2">
        <v>1</v>
      </c>
      <c r="C9" t="s">
        <v>2</v>
      </c>
      <c r="D9" t="s">
        <v>17</v>
      </c>
    </row>
    <row r="12" spans="1:4" x14ac:dyDescent="0.2">
      <c r="A12" s="1" t="s">
        <v>18</v>
      </c>
    </row>
    <row r="13" spans="1:4" x14ac:dyDescent="0.2">
      <c r="A13" t="s">
        <v>19</v>
      </c>
      <c r="B13" s="3">
        <f>B2*B4</f>
        <v>8712000</v>
      </c>
    </row>
    <row r="16" spans="1:4" x14ac:dyDescent="0.2">
      <c r="A16" s="1" t="s">
        <v>20</v>
      </c>
    </row>
    <row r="17" spans="1:5" x14ac:dyDescent="0.2">
      <c r="A17" t="s">
        <v>21</v>
      </c>
      <c r="B17">
        <f>B2/(1+B6*B9)</f>
        <v>7831620.1664219275</v>
      </c>
    </row>
    <row r="18" spans="1:5" x14ac:dyDescent="0.2">
      <c r="A18" t="s">
        <v>22</v>
      </c>
      <c r="B18">
        <f>B17*B3</f>
        <v>9162995.5947136544</v>
      </c>
    </row>
    <row r="19" spans="1:5" x14ac:dyDescent="0.2">
      <c r="A19" t="s">
        <v>23</v>
      </c>
      <c r="B19" s="3">
        <f>B18*(1+B5*B9)</f>
        <v>9552422.907488985</v>
      </c>
    </row>
    <row r="22" spans="1:5" x14ac:dyDescent="0.2">
      <c r="A22" s="1" t="s">
        <v>24</v>
      </c>
    </row>
    <row r="23" spans="1:5" x14ac:dyDescent="0.2">
      <c r="A23" t="s">
        <v>25</v>
      </c>
      <c r="B23">
        <f>B2*B8</f>
        <v>168000</v>
      </c>
    </row>
    <row r="24" spans="1:5" x14ac:dyDescent="0.2">
      <c r="A24" t="s">
        <v>26</v>
      </c>
      <c r="B24">
        <f>B2*B8</f>
        <v>168000</v>
      </c>
    </row>
    <row r="28" spans="1:5" x14ac:dyDescent="0.2">
      <c r="A28" s="1" t="s">
        <v>27</v>
      </c>
      <c r="B28" s="1" t="s">
        <v>28</v>
      </c>
      <c r="C28" s="1" t="s">
        <v>29</v>
      </c>
      <c r="D28" s="1" t="s">
        <v>30</v>
      </c>
      <c r="E28" s="1" t="s">
        <v>31</v>
      </c>
    </row>
    <row r="29" spans="1:5" x14ac:dyDescent="0.2">
      <c r="A29">
        <f>0.95*$B$3</f>
        <v>1.1114999999999999</v>
      </c>
      <c r="B29">
        <f t="shared" ref="B29:B39" si="0">$B$2*$B$4</f>
        <v>8712000</v>
      </c>
      <c r="C29">
        <f t="shared" ref="C29:C39" si="1">( $B$2/(1+$B$6*$B$9) )*$B$3*(1+$B$5*$B$9)</f>
        <v>9552422.907488985</v>
      </c>
      <c r="D29">
        <f t="shared" ref="D29:D39" si="2">IF(A29&lt;$B$7, $B$7*$B$2 - $B$2*$B$8, A29*$B$2 - $B$2*$B$8)</f>
        <v>9192000</v>
      </c>
      <c r="E29">
        <f t="shared" ref="E29:E39" si="3">IF(A29&gt;$B$7, $B$7*$B$2 - $B$2*$B$8, A29*$B$2 - $B$2*$B$8)</f>
        <v>8724000</v>
      </c>
    </row>
    <row r="30" spans="1:5" x14ac:dyDescent="0.2">
      <c r="A30">
        <f t="shared" ref="A30:A39" si="4">A29*1.01</f>
        <v>1.1226149999999999</v>
      </c>
      <c r="B30">
        <f t="shared" si="0"/>
        <v>8712000</v>
      </c>
      <c r="C30">
        <f t="shared" si="1"/>
        <v>9552422.907488985</v>
      </c>
      <c r="D30">
        <f t="shared" si="2"/>
        <v>9192000</v>
      </c>
      <c r="E30">
        <f t="shared" si="3"/>
        <v>8812920</v>
      </c>
    </row>
    <row r="31" spans="1:5" x14ac:dyDescent="0.2">
      <c r="A31">
        <f t="shared" si="4"/>
        <v>1.1338411499999999</v>
      </c>
      <c r="B31">
        <f t="shared" si="0"/>
        <v>8712000</v>
      </c>
      <c r="C31">
        <f t="shared" si="1"/>
        <v>9552422.907488985</v>
      </c>
      <c r="D31">
        <f t="shared" si="2"/>
        <v>9192000</v>
      </c>
      <c r="E31">
        <f t="shared" si="3"/>
        <v>8902729.1999999993</v>
      </c>
    </row>
    <row r="32" spans="1:5" x14ac:dyDescent="0.2">
      <c r="A32">
        <f t="shared" si="4"/>
        <v>1.1451795614999998</v>
      </c>
      <c r="B32">
        <f t="shared" si="0"/>
        <v>8712000</v>
      </c>
      <c r="C32">
        <f t="shared" si="1"/>
        <v>9552422.907488985</v>
      </c>
      <c r="D32">
        <f t="shared" si="2"/>
        <v>9192000</v>
      </c>
      <c r="E32">
        <f t="shared" si="3"/>
        <v>8993436.4919999987</v>
      </c>
    </row>
    <row r="33" spans="1:5" x14ac:dyDescent="0.2">
      <c r="A33">
        <f t="shared" si="4"/>
        <v>1.1566313571149998</v>
      </c>
      <c r="B33">
        <f t="shared" si="0"/>
        <v>8712000</v>
      </c>
      <c r="C33">
        <f t="shared" si="1"/>
        <v>9552422.907488985</v>
      </c>
      <c r="D33">
        <f t="shared" si="2"/>
        <v>9192000</v>
      </c>
      <c r="E33">
        <f t="shared" si="3"/>
        <v>9085050.8569199983</v>
      </c>
    </row>
    <row r="34" spans="1:5" x14ac:dyDescent="0.2">
      <c r="A34">
        <f t="shared" si="4"/>
        <v>1.1681976706861497</v>
      </c>
      <c r="B34">
        <f t="shared" si="0"/>
        <v>8712000</v>
      </c>
      <c r="C34">
        <f t="shared" si="1"/>
        <v>9552422.907488985</v>
      </c>
      <c r="D34">
        <f t="shared" si="2"/>
        <v>9192000</v>
      </c>
      <c r="E34">
        <f t="shared" si="3"/>
        <v>9177581.3654891979</v>
      </c>
    </row>
    <row r="35" spans="1:5" x14ac:dyDescent="0.2">
      <c r="A35">
        <f t="shared" si="4"/>
        <v>1.1798796473930111</v>
      </c>
      <c r="B35">
        <f t="shared" si="0"/>
        <v>8712000</v>
      </c>
      <c r="C35">
        <f t="shared" si="1"/>
        <v>9552422.907488985</v>
      </c>
      <c r="D35">
        <f t="shared" si="2"/>
        <v>9271037.1791440882</v>
      </c>
      <c r="E35">
        <f t="shared" si="3"/>
        <v>9192000</v>
      </c>
    </row>
    <row r="36" spans="1:5" x14ac:dyDescent="0.2">
      <c r="A36">
        <f t="shared" si="4"/>
        <v>1.1916784438669412</v>
      </c>
      <c r="B36">
        <f t="shared" si="0"/>
        <v>8712000</v>
      </c>
      <c r="C36">
        <f t="shared" si="1"/>
        <v>9552422.907488985</v>
      </c>
      <c r="D36">
        <f t="shared" si="2"/>
        <v>9365427.5509355292</v>
      </c>
      <c r="E36">
        <f t="shared" si="3"/>
        <v>9192000</v>
      </c>
    </row>
    <row r="37" spans="1:5" x14ac:dyDescent="0.2">
      <c r="A37">
        <f t="shared" si="4"/>
        <v>1.2035952283056106</v>
      </c>
      <c r="B37">
        <f t="shared" si="0"/>
        <v>8712000</v>
      </c>
      <c r="C37">
        <f t="shared" si="1"/>
        <v>9552422.907488985</v>
      </c>
      <c r="D37">
        <f t="shared" si="2"/>
        <v>9460761.8264448848</v>
      </c>
      <c r="E37">
        <f t="shared" si="3"/>
        <v>9192000</v>
      </c>
    </row>
    <row r="38" spans="1:5" x14ac:dyDescent="0.2">
      <c r="A38">
        <f t="shared" si="4"/>
        <v>1.2156311805886668</v>
      </c>
      <c r="B38">
        <f t="shared" si="0"/>
        <v>8712000</v>
      </c>
      <c r="C38">
        <f t="shared" si="1"/>
        <v>9552422.907488985</v>
      </c>
      <c r="D38">
        <f t="shared" si="2"/>
        <v>9557049.4447093345</v>
      </c>
      <c r="E38">
        <f t="shared" si="3"/>
        <v>9192000</v>
      </c>
    </row>
    <row r="39" spans="1:5" x14ac:dyDescent="0.2">
      <c r="A39">
        <f t="shared" si="4"/>
        <v>1.2277874923945535</v>
      </c>
      <c r="B39">
        <f t="shared" si="0"/>
        <v>8712000</v>
      </c>
      <c r="C39">
        <f t="shared" si="1"/>
        <v>9552422.907488985</v>
      </c>
      <c r="D39">
        <f t="shared" si="2"/>
        <v>9654299.939156428</v>
      </c>
      <c r="E39">
        <f t="shared" si="3"/>
        <v>9192000</v>
      </c>
    </row>
    <row r="42" spans="1:5" x14ac:dyDescent="0.2">
      <c r="A42" s="1" t="s">
        <v>32</v>
      </c>
    </row>
    <row r="43" spans="1:5" x14ac:dyDescent="0.2">
      <c r="A43" t="s">
        <v>33</v>
      </c>
      <c r="B43" s="3">
        <f>B13</f>
        <v>8712000</v>
      </c>
    </row>
    <row r="44" spans="1:5" x14ac:dyDescent="0.2">
      <c r="A44" t="s">
        <v>34</v>
      </c>
      <c r="B44" s="3">
        <f>B19</f>
        <v>9552422.907488985</v>
      </c>
    </row>
    <row r="45" spans="1:5" x14ac:dyDescent="0.2">
      <c r="A45" t="s">
        <v>35</v>
      </c>
      <c r="B45">
        <f>MIN(D29:D39)</f>
        <v>9192000</v>
      </c>
    </row>
    <row r="46" spans="1:5" x14ac:dyDescent="0.2">
      <c r="A46" t="s">
        <v>36</v>
      </c>
      <c r="B46">
        <f>MAX(D29:D39)</f>
        <v>9654299.939156428</v>
      </c>
    </row>
    <row r="47" spans="1:5" x14ac:dyDescent="0.2">
      <c r="A47" t="s">
        <v>37</v>
      </c>
      <c r="B47">
        <f>MIN(E29:E39)</f>
        <v>8724000</v>
      </c>
    </row>
    <row r="48" spans="1:5" x14ac:dyDescent="0.2">
      <c r="A48" t="s">
        <v>38</v>
      </c>
      <c r="B48">
        <f>MAX(E29:E39)</f>
        <v>9192000</v>
      </c>
    </row>
    <row r="51" spans="1:1" x14ac:dyDescent="0.2">
      <c r="A51" s="4" t="s">
        <v>39</v>
      </c>
    </row>
    <row r="52" spans="1:1" x14ac:dyDescent="0.2">
      <c r="A5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Stage3_Model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trustank@hawaii.edu</cp:lastModifiedBy>
  <dcterms:created xsi:type="dcterms:W3CDTF">2025-11-22T03:42:19Z</dcterms:created>
  <dcterms:modified xsi:type="dcterms:W3CDTF">2025-11-22T07:26:43Z</dcterms:modified>
</cp:coreProperties>
</file>