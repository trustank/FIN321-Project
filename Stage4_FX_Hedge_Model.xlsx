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trustank/Downloads/"/>
    </mc:Choice>
  </mc:AlternateContent>
  <xr:revisionPtr revIDLastSave="0" documentId="8_{07DE603C-8562-3C4F-BDB4-DF4804035B3B}" xr6:coauthVersionLast="47" xr6:coauthVersionMax="47" xr10:uidLastSave="{00000000-0000-0000-0000-000000000000}"/>
  <bookViews>
    <workbookView xWindow="0" yWindow="620" windowWidth="28800" windowHeight="16300" xr2:uid="{00000000-000D-0000-FFFF-FFFF00000000}"/>
  </bookViews>
  <sheets>
    <sheet name="Model" sheetId="1" r:id="rId1"/>
  </sheets>
  <definedNames>
    <definedName name="F0_in">Model!$B$5</definedName>
    <definedName name="FC_AMT">Model!$B$3</definedName>
    <definedName name="K_CALL">Model!$B$9</definedName>
    <definedName name="K_PUT">Model!$B$8</definedName>
    <definedName name="PREM_CALL">Model!$B$11</definedName>
    <definedName name="PREM_PUT">Model!$B$10</definedName>
    <definedName name="R_FC">Model!$B$7</definedName>
    <definedName name="R_USD">Model!$B$6</definedName>
    <definedName name="S0_in">Model!$B$4</definedName>
    <definedName name="T_DAYS">Model!$B$12</definedName>
    <definedName name="T_YRS">Model!$B$13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1" l="1"/>
  <c r="B41" i="1"/>
  <c r="B40" i="1"/>
  <c r="B39" i="1"/>
  <c r="B38" i="1"/>
  <c r="B37" i="1"/>
  <c r="B36" i="1"/>
  <c r="B35" i="1"/>
  <c r="B34" i="1"/>
  <c r="B33" i="1"/>
  <c r="F32" i="1"/>
  <c r="D32" i="1"/>
  <c r="B32" i="1"/>
  <c r="A32" i="1"/>
  <c r="A33" i="1" s="1"/>
  <c r="B27" i="1"/>
  <c r="B26" i="1"/>
  <c r="B16" i="1"/>
  <c r="E16" i="1" s="1"/>
  <c r="B13" i="1"/>
  <c r="C41" i="1" s="1"/>
  <c r="A34" i="1" l="1"/>
  <c r="D33" i="1"/>
  <c r="F33" i="1"/>
  <c r="E33" i="1"/>
  <c r="B20" i="1"/>
  <c r="B21" i="1" s="1"/>
  <c r="B22" i="1" s="1"/>
  <c r="E22" i="1" s="1"/>
  <c r="C32" i="1"/>
  <c r="C36" i="1"/>
  <c r="C40" i="1"/>
  <c r="E32" i="1"/>
  <c r="C35" i="1"/>
  <c r="C39" i="1"/>
  <c r="C34" i="1"/>
  <c r="C38" i="1"/>
  <c r="C42" i="1"/>
  <c r="C33" i="1"/>
  <c r="C37" i="1"/>
  <c r="E34" i="1" l="1"/>
  <c r="D34" i="1"/>
  <c r="F34" i="1"/>
  <c r="A35" i="1"/>
  <c r="A36" i="1" l="1"/>
  <c r="F35" i="1"/>
  <c r="E35" i="1"/>
  <c r="D35" i="1"/>
  <c r="A37" i="1" l="1"/>
  <c r="F36" i="1"/>
  <c r="E36" i="1"/>
  <c r="D36" i="1"/>
  <c r="A38" i="1" l="1"/>
  <c r="F37" i="1"/>
  <c r="E37" i="1"/>
  <c r="D37" i="1"/>
  <c r="E38" i="1" l="1"/>
  <c r="D38" i="1"/>
  <c r="A39" i="1"/>
  <c r="F38" i="1"/>
  <c r="A40" i="1" l="1"/>
  <c r="F39" i="1"/>
  <c r="E39" i="1"/>
  <c r="D39" i="1"/>
  <c r="A41" i="1" l="1"/>
  <c r="F40" i="1"/>
  <c r="E40" i="1"/>
  <c r="D40" i="1"/>
  <c r="D41" i="1" l="1"/>
  <c r="A42" i="1"/>
  <c r="F41" i="1"/>
  <c r="E41" i="1"/>
  <c r="F42" i="1" l="1"/>
  <c r="E42" i="1"/>
  <c r="D42" i="1"/>
</calcChain>
</file>

<file path=xl/sharedStrings.xml><?xml version="1.0" encoding="utf-8"?>
<sst xmlns="http://schemas.openxmlformats.org/spreadsheetml/2006/main" count="44" uniqueCount="44">
  <si>
    <t>INPUTS (Editable)</t>
  </si>
  <si>
    <t>Named Range</t>
  </si>
  <si>
    <t>Value</t>
  </si>
  <si>
    <t>Description</t>
  </si>
  <si>
    <t>FC_AMT</t>
  </si>
  <si>
    <t>EUR receivable (EUR)</t>
  </si>
  <si>
    <t>S0_in</t>
  </si>
  <si>
    <t>Spot EUR/USD (USD per EUR)</t>
  </si>
  <si>
    <t>F0_in</t>
  </si>
  <si>
    <t>Forward EUR/USD (USD per EUR)</t>
  </si>
  <si>
    <t>R_USD</t>
  </si>
  <si>
    <t>USD 1-year interest rate</t>
  </si>
  <si>
    <t>R_FC</t>
  </si>
  <si>
    <t>EUR 1-year interest rate</t>
  </si>
  <si>
    <t>K_PUT</t>
  </si>
  <si>
    <t>Put strike</t>
  </si>
  <si>
    <t>K_CALL</t>
  </si>
  <si>
    <t>Call strike</t>
  </si>
  <si>
    <t>PREM_PUT</t>
  </si>
  <si>
    <t>Put premium (USD per EUR)</t>
  </si>
  <si>
    <t>PREM_CALL</t>
  </si>
  <si>
    <t>Call premium (USD per EUR)</t>
  </si>
  <si>
    <t>T_DAYS</t>
  </si>
  <si>
    <t>Time to maturity (days)</t>
  </si>
  <si>
    <t>T_YRS</t>
  </si>
  <si>
    <t>Time to maturity (years)</t>
  </si>
  <si>
    <t>FORWARD HEDGE</t>
  </si>
  <si>
    <t>USD_FWD = FC_AMT * F0_in</t>
  </si>
  <si>
    <t>Forward Hedge Proceeds (USD)</t>
  </si>
  <si>
    <t>MONEY MARKET HEDGE (3-step)</t>
  </si>
  <si>
    <t>Step 1: EUR_BORROW</t>
  </si>
  <si>
    <t>Step 2: USD_TODAY</t>
  </si>
  <si>
    <t>Step 3: USD_MM</t>
  </si>
  <si>
    <t>Money Market Hedge Proceeds (USD)</t>
  </si>
  <si>
    <t>OPTION HEDGES</t>
  </si>
  <si>
    <t>Put premium total</t>
  </si>
  <si>
    <t>Call premium total</t>
  </si>
  <si>
    <t>SENSITIVITY TABLE (±5% around spot)</t>
  </si>
  <si>
    <t>S_T</t>
  </si>
  <si>
    <t>USD_FWD</t>
  </si>
  <si>
    <t>USD_MM</t>
  </si>
  <si>
    <t>USD_PUT_NET</t>
  </si>
  <si>
    <t>USD_CALL_NET</t>
  </si>
  <si>
    <t>USD_UNHEDGED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</si>
</sst>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E6E6E6"/>
        <bgColor rgb="FFE6E6E6"/>
      </patternFill>
    </fill>
    <fill>
      <patternFill patternType="solid">
        <fgColor rgb="FFFFFDE2"/>
        <bgColor rgb="FFFFFDE2"/>
      </patternFill>
    </fill>
    <fill>
      <patternFill patternType="solid">
        <fgColor rgb="FFE6F4EA"/>
        <bgColor rgb="FFE6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0" fillId="0" borderId="0" xfId="0" applyAlignment="1">
      <alignment vertical="top" wrapText="1"/>
    </xf>
    <xf numFmtId="0" fontId="0" fillId="5" borderId="0" xfId="0" applyFill="1"/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/>
  </sheetViews>
  <sheetFormatPr baseColWidth="10" defaultColWidth="8.83203125" defaultRowHeight="15" x14ac:dyDescent="0.2"/>
  <cols>
    <col min="1" max="1" width="36" customWidth="1"/>
    <col min="2" max="7" width="24" customWidth="1"/>
  </cols>
  <sheetData>
    <row r="1" spans="1:5" x14ac:dyDescent="0.2">
      <c r="A1" s="1" t="s">
        <v>0</v>
      </c>
    </row>
    <row r="2" spans="1:5" x14ac:dyDescent="0.2">
      <c r="A2" s="2" t="s">
        <v>1</v>
      </c>
      <c r="B2" s="2" t="s">
        <v>2</v>
      </c>
      <c r="C2" s="2" t="s">
        <v>3</v>
      </c>
    </row>
    <row r="3" spans="1:5" ht="16" x14ac:dyDescent="0.2">
      <c r="A3" t="s">
        <v>4</v>
      </c>
      <c r="B3" s="3">
        <v>8000000</v>
      </c>
      <c r="C3" s="4" t="s">
        <v>5</v>
      </c>
    </row>
    <row r="4" spans="1:5" ht="16" x14ac:dyDescent="0.2">
      <c r="A4" t="s">
        <v>6</v>
      </c>
      <c r="B4" s="3">
        <v>1.17</v>
      </c>
      <c r="C4" s="4" t="s">
        <v>7</v>
      </c>
    </row>
    <row r="5" spans="1:5" ht="32" x14ac:dyDescent="0.2">
      <c r="A5" t="s">
        <v>8</v>
      </c>
      <c r="B5" s="3">
        <v>1.089</v>
      </c>
      <c r="C5" s="4" t="s">
        <v>9</v>
      </c>
    </row>
    <row r="6" spans="1:5" ht="16" x14ac:dyDescent="0.2">
      <c r="A6" t="s">
        <v>10</v>
      </c>
      <c r="B6" s="3">
        <v>4.2500000000000003E-2</v>
      </c>
      <c r="C6" s="4" t="s">
        <v>11</v>
      </c>
    </row>
    <row r="7" spans="1:5" ht="16" x14ac:dyDescent="0.2">
      <c r="A7" t="s">
        <v>12</v>
      </c>
      <c r="B7" s="3">
        <v>2.1499999999999998E-2</v>
      </c>
      <c r="C7" s="4" t="s">
        <v>13</v>
      </c>
    </row>
    <row r="8" spans="1:5" ht="16" x14ac:dyDescent="0.2">
      <c r="A8" t="s">
        <v>14</v>
      </c>
      <c r="B8" s="3">
        <v>1.17</v>
      </c>
      <c r="C8" s="4" t="s">
        <v>15</v>
      </c>
    </row>
    <row r="9" spans="1:5" ht="16" x14ac:dyDescent="0.2">
      <c r="A9" t="s">
        <v>16</v>
      </c>
      <c r="B9" s="3">
        <v>1.17</v>
      </c>
      <c r="C9" s="4" t="s">
        <v>17</v>
      </c>
    </row>
    <row r="10" spans="1:5" ht="16" x14ac:dyDescent="0.2">
      <c r="A10" t="s">
        <v>18</v>
      </c>
      <c r="B10" s="3">
        <v>2.1000000000000001E-2</v>
      </c>
      <c r="C10" s="4" t="s">
        <v>19</v>
      </c>
    </row>
    <row r="11" spans="1:5" ht="16" x14ac:dyDescent="0.2">
      <c r="A11" t="s">
        <v>20</v>
      </c>
      <c r="B11" s="3">
        <v>2.5999999999999999E-2</v>
      </c>
      <c r="C11" s="4" t="s">
        <v>21</v>
      </c>
    </row>
    <row r="12" spans="1:5" ht="16" x14ac:dyDescent="0.2">
      <c r="A12" t="s">
        <v>22</v>
      </c>
      <c r="B12" s="3">
        <v>365</v>
      </c>
      <c r="C12" s="4" t="s">
        <v>23</v>
      </c>
    </row>
    <row r="13" spans="1:5" ht="16" x14ac:dyDescent="0.2">
      <c r="A13" t="s">
        <v>24</v>
      </c>
      <c r="B13" s="5">
        <f>T_DAYS/365</f>
        <v>1</v>
      </c>
      <c r="C13" s="4" t="s">
        <v>25</v>
      </c>
    </row>
    <row r="15" spans="1:5" x14ac:dyDescent="0.2">
      <c r="A15" s="1" t="s">
        <v>26</v>
      </c>
    </row>
    <row r="16" spans="1:5" x14ac:dyDescent="0.2">
      <c r="A16" t="s">
        <v>27</v>
      </c>
      <c r="B16" s="5">
        <f>FC_AMT*F0_in</f>
        <v>8712000</v>
      </c>
      <c r="D16" s="6" t="s">
        <v>28</v>
      </c>
      <c r="E16" s="7">
        <f>B16</f>
        <v>8712000</v>
      </c>
    </row>
    <row r="19" spans="1:6" x14ac:dyDescent="0.2">
      <c r="A19" s="1" t="s">
        <v>29</v>
      </c>
    </row>
    <row r="20" spans="1:6" x14ac:dyDescent="0.2">
      <c r="A20" t="s">
        <v>30</v>
      </c>
      <c r="B20" s="5">
        <f>FC_AMT/(1+R_FC*T_YRS)</f>
        <v>7831620.1664219275</v>
      </c>
    </row>
    <row r="21" spans="1:6" x14ac:dyDescent="0.2">
      <c r="A21" t="s">
        <v>31</v>
      </c>
      <c r="B21" s="5">
        <f>B20*S0_in</f>
        <v>9162995.5947136544</v>
      </c>
    </row>
    <row r="22" spans="1:6" x14ac:dyDescent="0.2">
      <c r="A22" t="s">
        <v>32</v>
      </c>
      <c r="B22" s="5">
        <f>B21*(1+R_USD*T_YRS)</f>
        <v>9552422.907488985</v>
      </c>
      <c r="D22" s="6" t="s">
        <v>33</v>
      </c>
      <c r="E22" s="7">
        <f>B22</f>
        <v>9552422.907488985</v>
      </c>
    </row>
    <row r="25" spans="1:6" x14ac:dyDescent="0.2">
      <c r="A25" s="1" t="s">
        <v>34</v>
      </c>
    </row>
    <row r="26" spans="1:6" x14ac:dyDescent="0.2">
      <c r="A26" t="s">
        <v>35</v>
      </c>
      <c r="B26" s="5">
        <f>FC_AMT*PREM_PUT</f>
        <v>168000</v>
      </c>
    </row>
    <row r="27" spans="1:6" x14ac:dyDescent="0.2">
      <c r="A27" t="s">
        <v>36</v>
      </c>
      <c r="B27" s="5">
        <f>FC_AMT*PREM_CALL</f>
        <v>208000</v>
      </c>
    </row>
    <row r="30" spans="1:6" x14ac:dyDescent="0.2">
      <c r="A30" s="1" t="s">
        <v>37</v>
      </c>
    </row>
    <row r="31" spans="1:6" x14ac:dyDescent="0.2">
      <c r="A31" s="2" t="s">
        <v>38</v>
      </c>
      <c r="B31" s="2" t="s">
        <v>39</v>
      </c>
      <c r="C31" s="2" t="s">
        <v>40</v>
      </c>
      <c r="D31" s="2" t="s">
        <v>41</v>
      </c>
      <c r="E31" s="2" t="s">
        <v>42</v>
      </c>
      <c r="F31" s="2" t="s">
        <v>43</v>
      </c>
    </row>
    <row r="32" spans="1:6" x14ac:dyDescent="0.2">
      <c r="A32" s="5">
        <f>0.95*S0_in</f>
        <v>1.1114999999999999</v>
      </c>
      <c r="B32" s="5">
        <f t="shared" ref="B32:B42" si="0">FC_AMT*F0_in</f>
        <v>8712000</v>
      </c>
      <c r="C32" s="5">
        <f t="shared" ref="C32:C42" si="1">FC_AMT/(1+R_FC*T_YRS)*S0_in*(1+R_USD*T_YRS)</f>
        <v>9552422.907488985</v>
      </c>
      <c r="D32" s="5">
        <f t="shared" ref="D32:D42" si="2">IF(A32&lt;K_PUT,K_PUT*FC_AMT-FC_AMT*PREM_PUT,A32*FC_AMT-FC_AMT*PREM_PUT)</f>
        <v>9192000</v>
      </c>
      <c r="E32" s="5">
        <f t="shared" ref="E32:E42" si="3">IF(A32&gt;K_CALL,K_CALL*FC_AMT-FC_AMT*PREM_CALL,A32*FC_AMT-FC_AMT*PREM_CALL)</f>
        <v>8684000</v>
      </c>
      <c r="F32" s="5">
        <f t="shared" ref="F32:F42" si="4">A32*FC_AMT</f>
        <v>8892000</v>
      </c>
    </row>
    <row r="33" spans="1:6" x14ac:dyDescent="0.2">
      <c r="A33" s="5">
        <f t="shared" ref="A33:A42" si="5">A32*1.01</f>
        <v>1.1226149999999999</v>
      </c>
      <c r="B33" s="5">
        <f t="shared" si="0"/>
        <v>8712000</v>
      </c>
      <c r="C33" s="5">
        <f t="shared" si="1"/>
        <v>9552422.907488985</v>
      </c>
      <c r="D33" s="5">
        <f t="shared" si="2"/>
        <v>9192000</v>
      </c>
      <c r="E33" s="5">
        <f t="shared" si="3"/>
        <v>8772920</v>
      </c>
      <c r="F33" s="5">
        <f t="shared" si="4"/>
        <v>8980920</v>
      </c>
    </row>
    <row r="34" spans="1:6" x14ac:dyDescent="0.2">
      <c r="A34" s="5">
        <f t="shared" si="5"/>
        <v>1.1338411499999999</v>
      </c>
      <c r="B34" s="5">
        <f t="shared" si="0"/>
        <v>8712000</v>
      </c>
      <c r="C34" s="5">
        <f t="shared" si="1"/>
        <v>9552422.907488985</v>
      </c>
      <c r="D34" s="5">
        <f t="shared" si="2"/>
        <v>9192000</v>
      </c>
      <c r="E34" s="5">
        <f t="shared" si="3"/>
        <v>8862729.1999999993</v>
      </c>
      <c r="F34" s="5">
        <f t="shared" si="4"/>
        <v>9070729.1999999993</v>
      </c>
    </row>
    <row r="35" spans="1:6" x14ac:dyDescent="0.2">
      <c r="A35" s="5">
        <f t="shared" si="5"/>
        <v>1.1451795614999998</v>
      </c>
      <c r="B35" s="5">
        <f t="shared" si="0"/>
        <v>8712000</v>
      </c>
      <c r="C35" s="5">
        <f t="shared" si="1"/>
        <v>9552422.907488985</v>
      </c>
      <c r="D35" s="5">
        <f t="shared" si="2"/>
        <v>9192000</v>
      </c>
      <c r="E35" s="5">
        <f t="shared" si="3"/>
        <v>8953436.4919999987</v>
      </c>
      <c r="F35" s="5">
        <f t="shared" si="4"/>
        <v>9161436.4919999987</v>
      </c>
    </row>
    <row r="36" spans="1:6" x14ac:dyDescent="0.2">
      <c r="A36" s="5">
        <f t="shared" si="5"/>
        <v>1.1566313571149998</v>
      </c>
      <c r="B36" s="5">
        <f t="shared" si="0"/>
        <v>8712000</v>
      </c>
      <c r="C36" s="5">
        <f t="shared" si="1"/>
        <v>9552422.907488985</v>
      </c>
      <c r="D36" s="5">
        <f t="shared" si="2"/>
        <v>9192000</v>
      </c>
      <c r="E36" s="5">
        <f t="shared" si="3"/>
        <v>9045050.8569199983</v>
      </c>
      <c r="F36" s="5">
        <f t="shared" si="4"/>
        <v>9253050.8569199983</v>
      </c>
    </row>
    <row r="37" spans="1:6" x14ac:dyDescent="0.2">
      <c r="A37" s="5">
        <f t="shared" si="5"/>
        <v>1.1681976706861497</v>
      </c>
      <c r="B37" s="5">
        <f t="shared" si="0"/>
        <v>8712000</v>
      </c>
      <c r="C37" s="5">
        <f t="shared" si="1"/>
        <v>9552422.907488985</v>
      </c>
      <c r="D37" s="5">
        <f t="shared" si="2"/>
        <v>9192000</v>
      </c>
      <c r="E37" s="5">
        <f t="shared" si="3"/>
        <v>9137581.3654891979</v>
      </c>
      <c r="F37" s="5">
        <f t="shared" si="4"/>
        <v>9345581.3654891979</v>
      </c>
    </row>
    <row r="38" spans="1:6" x14ac:dyDescent="0.2">
      <c r="A38" s="5">
        <f t="shared" si="5"/>
        <v>1.1798796473930111</v>
      </c>
      <c r="B38" s="5">
        <f t="shared" si="0"/>
        <v>8712000</v>
      </c>
      <c r="C38" s="5">
        <f t="shared" si="1"/>
        <v>9552422.907488985</v>
      </c>
      <c r="D38" s="5">
        <f t="shared" si="2"/>
        <v>9271037.1791440882</v>
      </c>
      <c r="E38" s="5">
        <f t="shared" si="3"/>
        <v>9152000</v>
      </c>
      <c r="F38" s="5">
        <f t="shared" si="4"/>
        <v>9439037.1791440882</v>
      </c>
    </row>
    <row r="39" spans="1:6" x14ac:dyDescent="0.2">
      <c r="A39" s="5">
        <f t="shared" si="5"/>
        <v>1.1916784438669412</v>
      </c>
      <c r="B39" s="5">
        <f t="shared" si="0"/>
        <v>8712000</v>
      </c>
      <c r="C39" s="5">
        <f t="shared" si="1"/>
        <v>9552422.907488985</v>
      </c>
      <c r="D39" s="5">
        <f t="shared" si="2"/>
        <v>9365427.5509355292</v>
      </c>
      <c r="E39" s="5">
        <f t="shared" si="3"/>
        <v>9152000</v>
      </c>
      <c r="F39" s="5">
        <f t="shared" si="4"/>
        <v>9533427.5509355292</v>
      </c>
    </row>
    <row r="40" spans="1:6" x14ac:dyDescent="0.2">
      <c r="A40" s="5">
        <f t="shared" si="5"/>
        <v>1.2035952283056106</v>
      </c>
      <c r="B40" s="5">
        <f t="shared" si="0"/>
        <v>8712000</v>
      </c>
      <c r="C40" s="5">
        <f t="shared" si="1"/>
        <v>9552422.907488985</v>
      </c>
      <c r="D40" s="5">
        <f t="shared" si="2"/>
        <v>9460761.8264448848</v>
      </c>
      <c r="E40" s="5">
        <f t="shared" si="3"/>
        <v>9152000</v>
      </c>
      <c r="F40" s="5">
        <f t="shared" si="4"/>
        <v>9628761.8264448848</v>
      </c>
    </row>
    <row r="41" spans="1:6" x14ac:dyDescent="0.2">
      <c r="A41" s="5">
        <f t="shared" si="5"/>
        <v>1.2156311805886668</v>
      </c>
      <c r="B41" s="5">
        <f t="shared" si="0"/>
        <v>8712000</v>
      </c>
      <c r="C41" s="5">
        <f t="shared" si="1"/>
        <v>9552422.907488985</v>
      </c>
      <c r="D41" s="5">
        <f t="shared" si="2"/>
        <v>9557049.4447093345</v>
      </c>
      <c r="E41" s="5">
        <f t="shared" si="3"/>
        <v>9152000</v>
      </c>
      <c r="F41" s="5">
        <f t="shared" si="4"/>
        <v>9725049.4447093345</v>
      </c>
    </row>
    <row r="42" spans="1:6" x14ac:dyDescent="0.2">
      <c r="A42" s="5">
        <f t="shared" si="5"/>
        <v>1.2277874923945535</v>
      </c>
      <c r="B42" s="5">
        <f t="shared" si="0"/>
        <v>8712000</v>
      </c>
      <c r="C42" s="5">
        <f t="shared" si="1"/>
        <v>9552422.907488985</v>
      </c>
      <c r="D42" s="5">
        <f t="shared" si="2"/>
        <v>9654299.939156428</v>
      </c>
      <c r="E42" s="5">
        <f t="shared" si="3"/>
        <v>9152000</v>
      </c>
      <c r="F42" s="5">
        <f t="shared" si="4"/>
        <v>9822299.939156428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Model</vt:lpstr>
      <vt:lpstr>F0_in</vt:lpstr>
      <vt:lpstr>FC_AMT</vt:lpstr>
      <vt:lpstr>K_CALL</vt:lpstr>
      <vt:lpstr>K_PUT</vt:lpstr>
      <vt:lpstr>PREM_CALL</vt:lpstr>
      <vt:lpstr>PREM_PUT</vt:lpstr>
      <vt:lpstr>R_FC</vt:lpstr>
      <vt:lpstr>R_USD</vt:lpstr>
      <vt:lpstr>S0_in</vt:lpstr>
      <vt:lpstr>T_DAYS</vt:lpstr>
      <vt:lpstr>T_YRS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trustank@hawaii.edu</cp:lastModifiedBy>
  <dcterms:created xsi:type="dcterms:W3CDTF">2025-12-12T14:09:53Z</dcterms:created>
  <dcterms:modified xsi:type="dcterms:W3CDTF">2025-12-12T14:13:59Z</dcterms:modified>
</cp:coreProperties>
</file>